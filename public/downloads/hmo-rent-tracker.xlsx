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Rent Tracker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£&quot;#,##0"/>
    <numFmt numFmtId="165" formatCode="yyyy-mm-dd"/>
    <numFmt numFmtId="166" formatCode="DD/MM/YYYY"/>
  </numFmts>
  <fonts count="11">
    <font>
      <name val="Calibri"/>
      <family val="2"/>
      <color theme="1"/>
      <sz val="11"/>
      <scheme val="minor"/>
    </font>
    <font>
      <b val="1"/>
      <color rgb="00111827"/>
      <sz val="18"/>
    </font>
    <font>
      <i val="1"/>
      <color rgb="00C2600C"/>
      <sz val="11"/>
    </font>
    <font>
      <color rgb="00111827"/>
      <sz val="11"/>
    </font>
    <font>
      <color rgb="006B7280"/>
      <sz val="11"/>
    </font>
    <font>
      <b val="1"/>
      <color rgb="00111827"/>
      <sz val="11"/>
    </font>
    <font>
      <color rgb="000563C1"/>
      <sz val="11"/>
      <u val="single"/>
    </font>
    <font>
      <b val="1"/>
      <color rgb="00FFFFFF"/>
      <sz val="11"/>
    </font>
    <font>
      <b val="1"/>
    </font>
    <font>
      <sz val="11"/>
    </font>
    <font>
      <b val="1"/>
      <color rgb="00C2600C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164" fontId="8" fillId="0" borderId="1" pivotButton="0" quotePrefix="0" xfId="0"/>
    <xf numFmtId="0" fontId="5" fillId="3" borderId="1" pivotButton="0" quotePrefix="0" xfId="0"/>
    <xf numFmtId="164" fontId="9" fillId="0" borderId="1" applyAlignment="1" pivotButton="0" quotePrefix="0" xfId="0">
      <alignment horizontal="right"/>
    </xf>
    <xf numFmtId="9" fontId="9" fillId="0" borderId="1" applyAlignment="1" pivotButton="0" quotePrefix="0" xfId="0">
      <alignment horizontal="right"/>
    </xf>
    <xf numFmtId="1" fontId="9" fillId="0" borderId="1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1">
    <dxf>
      <font>
        <b val="1"/>
        <color rgb="00B91C1C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rpulse.io/uk-hmo-management-software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yourpulse.io/uk-hmo-management-softwar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PulseHub HMO Rent Tracker</t>
        </is>
      </c>
    </row>
    <row r="2">
      <c r="A2" s="2" t="inlineStr">
        <is>
          <t>A free, no-strings template for UK HMO landlords</t>
        </is>
      </c>
    </row>
    <row r="4">
      <c r="A4" s="3" t="inlineStr"/>
      <c r="B4" s="4" t="inlineStr"/>
    </row>
    <row r="5">
      <c r="A5" s="5" t="inlineStr">
        <is>
          <t>How to use it</t>
        </is>
      </c>
      <c r="B5" s="4" t="inlineStr"/>
    </row>
    <row r="6">
      <c r="A6" s="3" t="inlineStr">
        <is>
          <t>1. Setup</t>
        </is>
      </c>
      <c r="B6" s="4" t="inlineStr">
        <is>
          <t>On the Setup tab, add a row for every room: property, room, tenant, monthly rent and deposit.</t>
        </is>
      </c>
    </row>
    <row r="7">
      <c r="A7" s="3" t="inlineStr">
        <is>
          <t>2. Log payments</t>
        </is>
      </c>
      <c r="B7" s="4" t="inlineStr">
        <is>
          <t>On the Rent Tracker tab, enter what each tenant paid each month. If a month was missed, enter 0 so it counts as due. Leave months that are not due yet blank.</t>
        </is>
      </c>
    </row>
    <row r="8">
      <c r="A8" s="3" t="inlineStr">
        <is>
          <t>3. Check Summary</t>
        </is>
      </c>
      <c r="B8" s="4" t="inlineStr">
        <is>
          <t>The Summary tab shows your rent roll, what you have collected, and the arrears that are actually overdue.</t>
        </is>
      </c>
    </row>
    <row r="9">
      <c r="A9" s="3" t="inlineStr"/>
      <c r="B9" s="4" t="inlineStr"/>
    </row>
    <row r="10">
      <c r="A10" s="3" t="inlineStr">
        <is>
          <t>How arrears are worked out</t>
        </is>
      </c>
      <c r="B10" s="4" t="inlineStr">
        <is>
          <t>Due to date is the rent for the months you have logged, so Outstanding is only what is genuinely behind, not the rest of the year.</t>
        </is>
      </c>
    </row>
    <row r="11">
      <c r="A11" s="3" t="inlineStr">
        <is>
          <t>Note</t>
        </is>
      </c>
      <c r="B11" s="4" t="inlineStr">
        <is>
          <t>The figures already in the file are examples. Overwrite them with your own.</t>
        </is>
      </c>
    </row>
    <row r="12">
      <c r="A12" s="3" t="inlineStr"/>
      <c r="B12" s="4" t="inlineStr"/>
    </row>
    <row r="13">
      <c r="A13" s="3" t="inlineStr">
        <is>
          <t>Outgrowing the spreadsheet?</t>
        </is>
      </c>
      <c r="B13" s="4" t="inlineStr">
        <is>
          <t>When you run more rooms, more arrears and more properties than a sheet wants to hold, PulseHub does all of this automatically, with utilities and deposits on one bill per resident.</t>
        </is>
      </c>
    </row>
    <row r="14">
      <c r="A14" s="3" t="inlineStr"/>
      <c r="B14" s="6" t="inlineStr">
        <is>
          <t>https://www.yourpulse.io/uk-hmo-management-software</t>
        </is>
      </c>
    </row>
  </sheetData>
  <hyperlinks>
    <hyperlink xmlns:r="http://schemas.openxmlformats.org/officeDocument/2006/relationships" ref="B1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Setup</t>
        </is>
      </c>
    </row>
    <row r="2">
      <c r="A2" s="2" t="inlineStr">
        <is>
          <t>Your properties, rooms and tenants. These feed the Rent Tracker and Summary.</t>
        </is>
      </c>
    </row>
    <row r="4">
      <c r="A4" s="7" t="inlineStr">
        <is>
          <t>Property</t>
        </is>
      </c>
      <c r="B4" s="7" t="inlineStr">
        <is>
          <t>Room</t>
        </is>
      </c>
      <c r="C4" s="7" t="inlineStr">
        <is>
          <t>Tenant</t>
        </is>
      </c>
      <c r="D4" s="7" t="inlineStr">
        <is>
          <t>Monthly rent</t>
        </is>
      </c>
      <c r="E4" s="7" t="inlineStr">
        <is>
          <t>Deposit held</t>
        </is>
      </c>
      <c r="F4" s="7" t="inlineStr">
        <is>
          <t>Move-in date</t>
        </is>
      </c>
    </row>
    <row r="5">
      <c r="A5" s="8" t="inlineStr">
        <is>
          <t>14 Mill Road</t>
        </is>
      </c>
      <c r="B5" s="8" t="inlineStr">
        <is>
          <t>Room 1</t>
        </is>
      </c>
      <c r="C5" s="8" t="inlineStr">
        <is>
          <t>A. Okafor</t>
        </is>
      </c>
      <c r="D5" s="9" t="n">
        <v>650</v>
      </c>
      <c r="E5" s="9" t="n">
        <v>650</v>
      </c>
      <c r="F5" s="10" t="n">
        <v>46118</v>
      </c>
    </row>
    <row r="6">
      <c r="A6" s="8" t="inlineStr">
        <is>
          <t>14 Mill Road</t>
        </is>
      </c>
      <c r="B6" s="8" t="inlineStr">
        <is>
          <t>Room 2</t>
        </is>
      </c>
      <c r="C6" s="8" t="inlineStr">
        <is>
          <t>B. Kaur</t>
        </is>
      </c>
      <c r="D6" s="9" t="n">
        <v>620</v>
      </c>
      <c r="E6" s="9" t="n">
        <v>620</v>
      </c>
      <c r="F6" s="10" t="n">
        <v>46118</v>
      </c>
    </row>
    <row r="7">
      <c r="A7" s="8" t="inlineStr">
        <is>
          <t>14 Mill Road</t>
        </is>
      </c>
      <c r="B7" s="8" t="inlineStr">
        <is>
          <t>Room 3</t>
        </is>
      </c>
      <c r="C7" s="8" t="inlineStr">
        <is>
          <t>C. Ahmed</t>
        </is>
      </c>
      <c r="D7" s="9" t="n">
        <v>600</v>
      </c>
      <c r="E7" s="9" t="n">
        <v>600</v>
      </c>
      <c r="F7" s="10" t="n">
        <v>46118</v>
      </c>
    </row>
    <row r="8">
      <c r="A8" s="8" t="inlineStr">
        <is>
          <t>28 Bridge Street</t>
        </is>
      </c>
      <c r="B8" s="8" t="inlineStr">
        <is>
          <t>Room 1</t>
        </is>
      </c>
      <c r="C8" s="8" t="inlineStr">
        <is>
          <t>D. Nowak</t>
        </is>
      </c>
      <c r="D8" s="9" t="n">
        <v>700</v>
      </c>
      <c r="E8" s="9" t="n">
        <v>700</v>
      </c>
      <c r="F8" s="10" t="n">
        <v>46118</v>
      </c>
    </row>
    <row r="9">
      <c r="A9" s="8" t="inlineStr">
        <is>
          <t>28 Bridge Street</t>
        </is>
      </c>
      <c r="B9" s="8" t="inlineStr">
        <is>
          <t>Room 2</t>
        </is>
      </c>
      <c r="C9" s="8" t="inlineStr">
        <is>
          <t>E. Reyes</t>
        </is>
      </c>
      <c r="D9" s="9" t="n">
        <v>680</v>
      </c>
      <c r="E9" s="9" t="n">
        <v>680</v>
      </c>
      <c r="F9" s="10" t="n">
        <v>46118</v>
      </c>
    </row>
    <row r="10">
      <c r="A10" s="8" t="n"/>
      <c r="B10" s="8" t="n"/>
      <c r="C10" s="8" t="n"/>
      <c r="D10" s="9" t="n"/>
      <c r="E10" s="9" t="n"/>
      <c r="F10" s="10" t="n"/>
    </row>
    <row r="11">
      <c r="A11" s="8" t="n"/>
      <c r="B11" s="8" t="n"/>
      <c r="C11" s="8" t="n"/>
      <c r="D11" s="9" t="n"/>
      <c r="E11" s="9" t="n"/>
      <c r="F11" s="10" t="n"/>
    </row>
    <row r="12">
      <c r="A12" s="8" t="n"/>
      <c r="B12" s="8" t="n"/>
      <c r="C12" s="8" t="n"/>
      <c r="D12" s="9" t="n"/>
      <c r="E12" s="9" t="n"/>
      <c r="F12" s="10" t="n"/>
    </row>
    <row r="13">
      <c r="A13" s="8" t="n"/>
      <c r="B13" s="8" t="n"/>
      <c r="C13" s="8" t="n"/>
      <c r="D13" s="9" t="n"/>
      <c r="E13" s="9" t="n"/>
      <c r="F13" s="10" t="n"/>
    </row>
    <row r="14">
      <c r="A14" s="8" t="n"/>
      <c r="B14" s="8" t="n"/>
      <c r="C14" s="8" t="n"/>
      <c r="D14" s="9" t="n"/>
      <c r="E14" s="9" t="n"/>
      <c r="F14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2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Rent Tracker</t>
        </is>
      </c>
    </row>
    <row r="2">
      <c r="A2" s="2" t="inlineStr">
        <is>
          <t>Enter what each tenant paid each month. Enter 0 for a missed month; leave future months blank.</t>
        </is>
      </c>
    </row>
    <row r="4">
      <c r="A4" s="7" t="inlineStr">
        <is>
          <t>Property</t>
        </is>
      </c>
      <c r="B4" s="7" t="inlineStr">
        <is>
          <t>Room</t>
        </is>
      </c>
      <c r="C4" s="7" t="inlineStr">
        <is>
          <t>Tenant</t>
        </is>
      </c>
      <c r="D4" s="7" t="inlineStr">
        <is>
          <t>Monthly rent</t>
        </is>
      </c>
      <c r="E4" s="7" t="inlineStr">
        <is>
          <t>Apr</t>
        </is>
      </c>
      <c r="F4" s="7" t="inlineStr">
        <is>
          <t>May</t>
        </is>
      </c>
      <c r="G4" s="7" t="inlineStr">
        <is>
          <t>Jun</t>
        </is>
      </c>
      <c r="H4" s="7" t="inlineStr">
        <is>
          <t>Jul</t>
        </is>
      </c>
      <c r="I4" s="7" t="inlineStr">
        <is>
          <t>Aug</t>
        </is>
      </c>
      <c r="J4" s="7" t="inlineStr">
        <is>
          <t>Sep</t>
        </is>
      </c>
      <c r="K4" s="7" t="inlineStr">
        <is>
          <t>Oct</t>
        </is>
      </c>
      <c r="L4" s="7" t="inlineStr">
        <is>
          <t>Nov</t>
        </is>
      </c>
      <c r="M4" s="7" t="inlineStr">
        <is>
          <t>Dec</t>
        </is>
      </c>
      <c r="N4" s="7" t="inlineStr">
        <is>
          <t>Jan</t>
        </is>
      </c>
      <c r="O4" s="7" t="inlineStr">
        <is>
          <t>Feb</t>
        </is>
      </c>
      <c r="P4" s="7" t="inlineStr">
        <is>
          <t>Mar</t>
        </is>
      </c>
      <c r="Q4" s="7" t="inlineStr">
        <is>
          <t>Due to date</t>
        </is>
      </c>
      <c r="R4" s="7" t="inlineStr">
        <is>
          <t>Paid</t>
        </is>
      </c>
      <c r="S4" s="7" t="inlineStr">
        <is>
          <t>Outstanding</t>
        </is>
      </c>
    </row>
    <row r="5">
      <c r="A5" s="8">
        <f>IF(Setup!A5="","",Setup!A5)</f>
        <v/>
      </c>
      <c r="B5" s="8">
        <f>IF(Setup!B5="","",Setup!B5)</f>
        <v/>
      </c>
      <c r="C5" s="8">
        <f>IF(Setup!C5="","",Setup!C5)</f>
        <v/>
      </c>
      <c r="D5" s="9">
        <f>IF(Setup!D5="","",Setup!D5)</f>
        <v/>
      </c>
      <c r="E5" s="9" t="n">
        <v>650</v>
      </c>
      <c r="F5" s="9" t="n">
        <v>650</v>
      </c>
      <c r="G5" s="9" t="n">
        <v>650</v>
      </c>
      <c r="H5" s="9" t="n">
        <v>650</v>
      </c>
      <c r="I5" s="9" t="n">
        <v>650</v>
      </c>
      <c r="J5" s="9" t="n">
        <v>650</v>
      </c>
      <c r="K5" s="9" t="n"/>
      <c r="L5" s="9" t="n"/>
      <c r="M5" s="9" t="n"/>
      <c r="N5" s="9" t="n"/>
      <c r="O5" s="9" t="n"/>
      <c r="P5" s="9" t="n"/>
      <c r="Q5" s="11">
        <f>IF(D5="","",D5*COUNT(E5:P5))</f>
        <v/>
      </c>
      <c r="R5" s="9">
        <f>IF(D5="","",SUM(E5:P5))</f>
        <v/>
      </c>
      <c r="S5" s="11">
        <f>IF(D5="","",Q5-R5)</f>
        <v/>
      </c>
    </row>
    <row r="6">
      <c r="A6" s="8">
        <f>IF(Setup!A6="","",Setup!A6)</f>
        <v/>
      </c>
      <c r="B6" s="8">
        <f>IF(Setup!B6="","",Setup!B6)</f>
        <v/>
      </c>
      <c r="C6" s="8">
        <f>IF(Setup!C6="","",Setup!C6)</f>
        <v/>
      </c>
      <c r="D6" s="9">
        <f>IF(Setup!D6="","",Setup!D6)</f>
        <v/>
      </c>
      <c r="E6" s="9" t="n">
        <v>620</v>
      </c>
      <c r="F6" s="9" t="n">
        <v>620</v>
      </c>
      <c r="G6" s="9" t="n">
        <v>620</v>
      </c>
      <c r="H6" s="9" t="n">
        <v>620</v>
      </c>
      <c r="I6" s="9" t="n">
        <v>620</v>
      </c>
      <c r="J6" s="9" t="n">
        <v>310</v>
      </c>
      <c r="K6" s="9" t="n"/>
      <c r="L6" s="9" t="n"/>
      <c r="M6" s="9" t="n"/>
      <c r="N6" s="9" t="n"/>
      <c r="O6" s="9" t="n"/>
      <c r="P6" s="9" t="n"/>
      <c r="Q6" s="11">
        <f>IF(D6="","",D6*COUNT(E6:P6))</f>
        <v/>
      </c>
      <c r="R6" s="9">
        <f>IF(D6="","",SUM(E6:P6))</f>
        <v/>
      </c>
      <c r="S6" s="11">
        <f>IF(D6="","",Q6-R6)</f>
        <v/>
      </c>
    </row>
    <row r="7">
      <c r="A7" s="8">
        <f>IF(Setup!A7="","",Setup!A7)</f>
        <v/>
      </c>
      <c r="B7" s="8">
        <f>IF(Setup!B7="","",Setup!B7)</f>
        <v/>
      </c>
      <c r="C7" s="8">
        <f>IF(Setup!C7="","",Setup!C7)</f>
        <v/>
      </c>
      <c r="D7" s="9">
        <f>IF(Setup!D7="","",Setup!D7)</f>
        <v/>
      </c>
      <c r="E7" s="9" t="n">
        <v>600</v>
      </c>
      <c r="F7" s="9" t="n">
        <v>600</v>
      </c>
      <c r="G7" s="9" t="n">
        <v>600</v>
      </c>
      <c r="H7" s="9" t="n">
        <v>600</v>
      </c>
      <c r="I7" s="9" t="n">
        <v>600</v>
      </c>
      <c r="J7" s="9" t="n">
        <v>600</v>
      </c>
      <c r="K7" s="9" t="n"/>
      <c r="L7" s="9" t="n"/>
      <c r="M7" s="9" t="n"/>
      <c r="N7" s="9" t="n"/>
      <c r="O7" s="9" t="n"/>
      <c r="P7" s="9" t="n"/>
      <c r="Q7" s="11">
        <f>IF(D7="","",D7*COUNT(E7:P7))</f>
        <v/>
      </c>
      <c r="R7" s="9">
        <f>IF(D7="","",SUM(E7:P7))</f>
        <v/>
      </c>
      <c r="S7" s="11">
        <f>IF(D7="","",Q7-R7)</f>
        <v/>
      </c>
    </row>
    <row r="8">
      <c r="A8" s="8">
        <f>IF(Setup!A8="","",Setup!A8)</f>
        <v/>
      </c>
      <c r="B8" s="8">
        <f>IF(Setup!B8="","",Setup!B8)</f>
        <v/>
      </c>
      <c r="C8" s="8">
        <f>IF(Setup!C8="","",Setup!C8)</f>
        <v/>
      </c>
      <c r="D8" s="9">
        <f>IF(Setup!D8="","",Setup!D8)</f>
        <v/>
      </c>
      <c r="E8" s="9" t="n">
        <v>700</v>
      </c>
      <c r="F8" s="9" t="n">
        <v>700</v>
      </c>
      <c r="G8" s="9" t="n">
        <v>700</v>
      </c>
      <c r="H8" s="9" t="n">
        <v>700</v>
      </c>
      <c r="I8" s="9" t="n">
        <v>700</v>
      </c>
      <c r="J8" s="9" t="n">
        <v>700</v>
      </c>
      <c r="K8" s="9" t="n"/>
      <c r="L8" s="9" t="n"/>
      <c r="M8" s="9" t="n"/>
      <c r="N8" s="9" t="n"/>
      <c r="O8" s="9" t="n"/>
      <c r="P8" s="9" t="n"/>
      <c r="Q8" s="11">
        <f>IF(D8="","",D8*COUNT(E8:P8))</f>
        <v/>
      </c>
      <c r="R8" s="9">
        <f>IF(D8="","",SUM(E8:P8))</f>
        <v/>
      </c>
      <c r="S8" s="11">
        <f>IF(D8="","",Q8-R8)</f>
        <v/>
      </c>
    </row>
    <row r="9">
      <c r="A9" s="8">
        <f>IF(Setup!A9="","",Setup!A9)</f>
        <v/>
      </c>
      <c r="B9" s="8">
        <f>IF(Setup!B9="","",Setup!B9)</f>
        <v/>
      </c>
      <c r="C9" s="8">
        <f>IF(Setup!C9="","",Setup!C9)</f>
        <v/>
      </c>
      <c r="D9" s="9">
        <f>IF(Setup!D9="","",Setup!D9)</f>
        <v/>
      </c>
      <c r="E9" s="9" t="n">
        <v>680</v>
      </c>
      <c r="F9" s="9" t="n">
        <v>680</v>
      </c>
      <c r="G9" s="9" t="n">
        <v>680</v>
      </c>
      <c r="H9" s="9" t="n">
        <v>680</v>
      </c>
      <c r="I9" s="9" t="n">
        <v>680</v>
      </c>
      <c r="J9" s="9" t="n">
        <v>0</v>
      </c>
      <c r="K9" s="9" t="n"/>
      <c r="L9" s="9" t="n"/>
      <c r="M9" s="9" t="n"/>
      <c r="N9" s="9" t="n"/>
      <c r="O9" s="9" t="n"/>
      <c r="P9" s="9" t="n"/>
      <c r="Q9" s="11">
        <f>IF(D9="","",D9*COUNT(E9:P9))</f>
        <v/>
      </c>
      <c r="R9" s="9">
        <f>IF(D9="","",SUM(E9:P9))</f>
        <v/>
      </c>
      <c r="S9" s="11">
        <f>IF(D9="","",Q9-R9)</f>
        <v/>
      </c>
    </row>
    <row r="10">
      <c r="A10" s="8">
        <f>IF(Setup!A10="","",Setup!A10)</f>
        <v/>
      </c>
      <c r="B10" s="8">
        <f>IF(Setup!B10="","",Setup!B10)</f>
        <v/>
      </c>
      <c r="C10" s="8">
        <f>IF(Setup!C10="","",Setup!C10)</f>
        <v/>
      </c>
      <c r="D10" s="9">
        <f>IF(Setup!D10="","",Setup!D10)</f>
        <v/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11">
        <f>IF(D10="","",D10*COUNT(E10:P10))</f>
        <v/>
      </c>
      <c r="R10" s="9">
        <f>IF(D10="","",SUM(E10:P10))</f>
        <v/>
      </c>
      <c r="S10" s="11">
        <f>IF(D10="","",Q10-R10)</f>
        <v/>
      </c>
    </row>
    <row r="11">
      <c r="A11" s="8">
        <f>IF(Setup!A11="","",Setup!A11)</f>
        <v/>
      </c>
      <c r="B11" s="8">
        <f>IF(Setup!B11="","",Setup!B11)</f>
        <v/>
      </c>
      <c r="C11" s="8">
        <f>IF(Setup!C11="","",Setup!C11)</f>
        <v/>
      </c>
      <c r="D11" s="9">
        <f>IF(Setup!D11="","",Setup!D11)</f>
        <v/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11">
        <f>IF(D11="","",D11*COUNT(E11:P11))</f>
        <v/>
      </c>
      <c r="R11" s="9">
        <f>IF(D11="","",SUM(E11:P11))</f>
        <v/>
      </c>
      <c r="S11" s="11">
        <f>IF(D11="","",Q11-R11)</f>
        <v/>
      </c>
    </row>
    <row r="12">
      <c r="A12" s="8">
        <f>IF(Setup!A12="","",Setup!A12)</f>
        <v/>
      </c>
      <c r="B12" s="8">
        <f>IF(Setup!B12="","",Setup!B12)</f>
        <v/>
      </c>
      <c r="C12" s="8">
        <f>IF(Setup!C12="","",Setup!C12)</f>
        <v/>
      </c>
      <c r="D12" s="9">
        <f>IF(Setup!D12="","",Setup!D12)</f>
        <v/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11">
        <f>IF(D12="","",D12*COUNT(E12:P12))</f>
        <v/>
      </c>
      <c r="R12" s="9">
        <f>IF(D12="","",SUM(E12:P12))</f>
        <v/>
      </c>
      <c r="S12" s="11">
        <f>IF(D12="","",Q12-R12)</f>
        <v/>
      </c>
    </row>
    <row r="13">
      <c r="A13" s="8">
        <f>IF(Setup!A13="","",Setup!A13)</f>
        <v/>
      </c>
      <c r="B13" s="8">
        <f>IF(Setup!B13="","",Setup!B13)</f>
        <v/>
      </c>
      <c r="C13" s="8">
        <f>IF(Setup!C13="","",Setup!C13)</f>
        <v/>
      </c>
      <c r="D13" s="9">
        <f>IF(Setup!D13="","",Setup!D13)</f>
        <v/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11">
        <f>IF(D13="","",D13*COUNT(E13:P13))</f>
        <v/>
      </c>
      <c r="R13" s="9">
        <f>IF(D13="","",SUM(E13:P13))</f>
        <v/>
      </c>
      <c r="S13" s="11">
        <f>IF(D13="","",Q13-R13)</f>
        <v/>
      </c>
    </row>
    <row r="14">
      <c r="A14" s="8">
        <f>IF(Setup!A14="","",Setup!A14)</f>
        <v/>
      </c>
      <c r="B14" s="8">
        <f>IF(Setup!B14="","",Setup!B14)</f>
        <v/>
      </c>
      <c r="C14" s="8">
        <f>IF(Setup!C14="","",Setup!C14)</f>
        <v/>
      </c>
      <c r="D14" s="9">
        <f>IF(Setup!D14="","",Setup!D14)</f>
        <v/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11">
        <f>IF(D14="","",D14*COUNT(E14:P14))</f>
        <v/>
      </c>
      <c r="R14" s="9">
        <f>IF(D14="","",SUM(E14:P14))</f>
        <v/>
      </c>
      <c r="S14" s="11">
        <f>IF(D14="","",Q14-R14)</f>
        <v/>
      </c>
    </row>
  </sheetData>
  <conditionalFormatting sqref="S5:S14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Summary</t>
        </is>
      </c>
    </row>
    <row r="2">
      <c r="A2" s="2" t="inlineStr">
        <is>
          <t>Your portfolio at a glance. Updates as you fill in the Rent Tracker.</t>
        </is>
      </c>
    </row>
    <row r="4">
      <c r="A4" s="12" t="inlineStr">
        <is>
          <t>Monthly rent roll</t>
        </is>
      </c>
      <c r="B4" s="13">
        <f>SUM(Setup!D5:D14)</f>
        <v/>
      </c>
    </row>
    <row r="5">
      <c r="A5" s="12" t="inlineStr">
        <is>
          <t>Billed to date</t>
        </is>
      </c>
      <c r="B5" s="13">
        <f>SUM('Rent Tracker'!Q5:Q14)</f>
        <v/>
      </c>
    </row>
    <row r="6">
      <c r="A6" s="12" t="inlineStr">
        <is>
          <t>Collected so far</t>
        </is>
      </c>
      <c r="B6" s="13">
        <f>SUM('Rent Tracker'!R5:R14)</f>
        <v/>
      </c>
    </row>
    <row r="7">
      <c r="A7" s="12" t="inlineStr">
        <is>
          <t>Outstanding (arrears)</t>
        </is>
      </c>
      <c r="B7" s="13">
        <f>SUM('Rent Tracker'!S5:S14)</f>
        <v/>
      </c>
    </row>
    <row r="8">
      <c r="A8" s="12" t="inlineStr">
        <is>
          <t>Collection rate</t>
        </is>
      </c>
      <c r="B8" s="14">
        <f>IF(SUM('Rent Tracker'!Q5:Q14)=0,0,SUM('Rent Tracker'!R5:R14)/SUM('Rent Tracker'!Q5:Q14))</f>
        <v/>
      </c>
    </row>
    <row r="9">
      <c r="A9" s="12" t="inlineStr">
        <is>
          <t>Rooms set up</t>
        </is>
      </c>
      <c r="B9" s="15">
        <f>COUNTA(Setup!C5:C14)</f>
        <v/>
      </c>
    </row>
    <row r="10">
      <c r="A10" s="12" t="inlineStr">
        <is>
          <t>Deposits held</t>
        </is>
      </c>
      <c r="B10" s="13">
        <f>SUM(Setup!E5:E14)</f>
        <v/>
      </c>
    </row>
    <row r="12">
      <c r="A12" s="16" t="inlineStr">
        <is>
          <t>Outgrowing the spreadsheet? PulseHub does all of this automatically.</t>
        </is>
      </c>
    </row>
    <row r="13">
      <c r="A13" s="17" t="inlineStr">
        <is>
          <t>https://www.yourpulse.io/uk-hmo-management-software</t>
        </is>
      </c>
    </row>
  </sheetData>
  <hyperlinks>
    <hyperlink xmlns:r="http://schemas.openxmlformats.org/officeDocument/2006/relationships" ref="A1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PulseHub</dc:creator>
  <dc:title xmlns:dc="http://purl.org/dc/elements/1.1/">PulseHub HMO Rent Tracker</dc:title>
  <dc:description xmlns:dc="http://purl.org/dc/elements/1.1/">Free HMO rent tracker spreadsheet template for UK landlords, from PulseHub.</dc:description>
  <dcterms:created xmlns:dcterms="http://purl.org/dc/terms/" xmlns:xsi="http://www.w3.org/2001/XMLSchema-instance" xsi:type="dcterms:W3CDTF">2026-10-29T21:11:08Z</dcterms:created>
  <dcterms:modified xmlns:dcterms="http://purl.org/dc/terms/" xmlns:xsi="http://www.w3.org/2001/XMLSchema-instance" xsi:type="dcterms:W3CDTF">2026-10-29T21:11:08Z</dcterms:modified>
</cp:coreProperties>
</file>